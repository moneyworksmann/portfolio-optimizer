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Portfolio Summary" sheetId="2" state="visible" r:id="rId2"/>
    <sheet name="Position Allocation" sheetId="3" state="visible" r:id="rId3"/>
    <sheet name="Optim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2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33337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428625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42862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428625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Account</t>
        </is>
      </c>
      <c r="C1" s="1" t="inlineStr">
        <is>
          <t>Shares</t>
        </is>
      </c>
      <c r="D1" s="1" t="inlineStr">
        <is>
          <t>Avg Cost/Share</t>
        </is>
      </c>
      <c r="E1" s="1" t="inlineStr">
        <is>
          <t>Current Price</t>
        </is>
      </c>
      <c r="F1" s="1" t="inlineStr">
        <is>
          <t>Total Cost</t>
        </is>
      </c>
      <c r="G1" s="1" t="inlineStr">
        <is>
          <t>Current Value</t>
        </is>
      </c>
      <c r="H1" s="1" t="inlineStr">
        <is>
          <t>Gain/Loss</t>
        </is>
      </c>
      <c r="I1" s="1" t="inlineStr">
        <is>
          <t>Return %</t>
        </is>
      </c>
    </row>
    <row r="2">
      <c r="A2" t="inlineStr">
        <is>
          <t>IWM</t>
        </is>
      </c>
      <c r="B2" t="inlineStr">
        <is>
          <t>Robinhood</t>
        </is>
      </c>
      <c r="C2" t="n">
        <v>0.379</v>
      </c>
      <c r="D2" s="2" t="n">
        <v>263.83</v>
      </c>
      <c r="E2" s="2" t="n">
        <v>277.6000061035156</v>
      </c>
      <c r="F2" s="2">
        <f>C2*D2</f>
        <v/>
      </c>
      <c r="G2" s="2">
        <f>C2*E2</f>
        <v/>
      </c>
      <c r="H2" s="2">
        <f>G2-F2</f>
        <v/>
      </c>
      <c r="I2" s="3">
        <f>IF(F2=0,0,H2/F2)</f>
        <v/>
      </c>
    </row>
    <row r="3">
      <c r="A3" t="inlineStr">
        <is>
          <t>AAPL</t>
        </is>
      </c>
      <c r="B3" t="inlineStr">
        <is>
          <t>Robinhood</t>
        </is>
      </c>
      <c r="C3" t="n">
        <v>0.023</v>
      </c>
      <c r="D3" s="2" t="n">
        <v>255.87</v>
      </c>
      <c r="E3" s="2" t="n">
        <v>300.2300109863281</v>
      </c>
      <c r="F3" s="2">
        <f>C3*D3</f>
        <v/>
      </c>
      <c r="G3" s="2">
        <f>C3*E3</f>
        <v/>
      </c>
      <c r="H3" s="2">
        <f>G3-F3</f>
        <v/>
      </c>
      <c r="I3" s="3">
        <f>IF(F3=0,0,H3/F3)</f>
        <v/>
      </c>
    </row>
    <row r="4">
      <c r="A4" t="inlineStr">
        <is>
          <t>AMZN</t>
        </is>
      </c>
      <c r="B4" t="inlineStr">
        <is>
          <t>Robinhood</t>
        </is>
      </c>
      <c r="C4" t="n">
        <v>0.02</v>
      </c>
      <c r="D4" s="2" t="n">
        <v>248.2</v>
      </c>
      <c r="E4" s="2" t="n">
        <v>264.1400146484375</v>
      </c>
      <c r="F4" s="2">
        <f>C4*D4</f>
        <v/>
      </c>
      <c r="G4" s="2">
        <f>C4*E4</f>
        <v/>
      </c>
      <c r="H4" s="2">
        <f>G4-F4</f>
        <v/>
      </c>
      <c r="I4" s="3">
        <f>IF(F4=0,0,H4/F4)</f>
        <v/>
      </c>
    </row>
    <row r="5">
      <c r="A5" t="inlineStr">
        <is>
          <t>JEPI</t>
        </is>
      </c>
      <c r="B5" t="inlineStr">
        <is>
          <t>Robinhood</t>
        </is>
      </c>
      <c r="C5" t="n">
        <v>0.841</v>
      </c>
      <c r="D5" s="2" t="n">
        <v>59.46</v>
      </c>
      <c r="E5" s="2" t="n">
        <v>55.88999938964844</v>
      </c>
      <c r="F5" s="2">
        <f>C5*D5</f>
        <v/>
      </c>
      <c r="G5" s="2">
        <f>C5*E5</f>
        <v/>
      </c>
      <c r="H5" s="2">
        <f>G5-F5</f>
        <v/>
      </c>
      <c r="I5" s="3">
        <f>IF(F5=0,0,H5/F5)</f>
        <v/>
      </c>
    </row>
    <row r="6">
      <c r="A6" t="inlineStr">
        <is>
          <t>SLG</t>
        </is>
      </c>
      <c r="B6" t="inlineStr">
        <is>
          <t>Webull</t>
        </is>
      </c>
      <c r="C6" t="n">
        <v>1</v>
      </c>
      <c r="D6" s="2" t="n">
        <v>43.39</v>
      </c>
      <c r="E6" s="2" t="n">
        <v>42.45000076293945</v>
      </c>
      <c r="F6" s="2">
        <f>C6*D6</f>
        <v/>
      </c>
      <c r="G6" s="2">
        <f>C6*E6</f>
        <v/>
      </c>
      <c r="H6" s="2">
        <f>G6-F6</f>
        <v/>
      </c>
      <c r="I6" s="3">
        <f>IF(F6=0,0,H6/F6)</f>
        <v/>
      </c>
    </row>
    <row r="7">
      <c r="A7" t="inlineStr">
        <is>
          <t>ORCL</t>
        </is>
      </c>
      <c r="B7" t="inlineStr">
        <is>
          <t>Webull</t>
        </is>
      </c>
      <c r="C7" t="n">
        <v>1</v>
      </c>
      <c r="D7" s="2" t="n">
        <v>175.84</v>
      </c>
      <c r="E7" s="2" t="n">
        <v>192.9499969482422</v>
      </c>
      <c r="F7" s="2">
        <f>C7*D7</f>
        <v/>
      </c>
      <c r="G7" s="2">
        <f>C7*E7</f>
        <v/>
      </c>
      <c r="H7" s="2">
        <f>G7-F7</f>
        <v/>
      </c>
      <c r="I7" s="3">
        <f>IF(F7=0,0,H7/F7)</f>
        <v/>
      </c>
    </row>
    <row r="8">
      <c r="A8" t="inlineStr">
        <is>
          <t>MSFT</t>
        </is>
      </c>
      <c r="B8" t="inlineStr">
        <is>
          <t>Webull</t>
        </is>
      </c>
      <c r="C8" t="n">
        <v>0.8</v>
      </c>
      <c r="D8" s="2" t="n">
        <v>326.38</v>
      </c>
      <c r="E8" s="2" t="n">
        <v>421.9200134277344</v>
      </c>
      <c r="F8" s="2">
        <f>C8*D8</f>
        <v/>
      </c>
      <c r="G8" s="2">
        <f>C8*E8</f>
        <v/>
      </c>
      <c r="H8" s="2">
        <f>G8-F8</f>
        <v/>
      </c>
      <c r="I8" s="3">
        <f>IF(F8=0,0,H8/F8)</f>
        <v/>
      </c>
    </row>
    <row r="9">
      <c r="A9" t="inlineStr">
        <is>
          <t>C</t>
        </is>
      </c>
      <c r="B9" t="inlineStr">
        <is>
          <t>Webull</t>
        </is>
      </c>
      <c r="C9" t="n">
        <v>1</v>
      </c>
      <c r="D9" s="2" t="n">
        <v>95.95</v>
      </c>
      <c r="E9" s="2" t="n">
        <v>123.4199981689453</v>
      </c>
      <c r="F9" s="2">
        <f>C9*D9</f>
        <v/>
      </c>
      <c r="G9" s="2">
        <f>C9*E9</f>
        <v/>
      </c>
      <c r="H9" s="2">
        <f>G9-F9</f>
        <v/>
      </c>
      <c r="I9" s="3">
        <f>IF(F9=0,0,H9/F9)</f>
        <v/>
      </c>
    </row>
    <row r="10">
      <c r="A10" t="inlineStr">
        <is>
          <t>JPM</t>
        </is>
      </c>
      <c r="B10" t="inlineStr">
        <is>
          <t>Webull</t>
        </is>
      </c>
      <c r="C10" t="n">
        <v>1</v>
      </c>
      <c r="D10" s="2" t="n">
        <v>304.68</v>
      </c>
      <c r="E10" s="2" t="n">
        <v>297.8099975585938</v>
      </c>
      <c r="F10" s="2">
        <f>C10*D10</f>
        <v/>
      </c>
      <c r="G10" s="2">
        <f>C10*E10</f>
        <v/>
      </c>
      <c r="H10" s="2">
        <f>G10-F10</f>
        <v/>
      </c>
      <c r="I10" s="3">
        <f>IF(F10=0,0,H10/F10)</f>
        <v/>
      </c>
    </row>
    <row r="11">
      <c r="A11" t="inlineStr">
        <is>
          <t>MU</t>
        </is>
      </c>
      <c r="B11" t="inlineStr">
        <is>
          <t>Webull</t>
        </is>
      </c>
      <c r="C11" t="n">
        <v>0.55</v>
      </c>
      <c r="D11" s="2" t="n">
        <v>153.54</v>
      </c>
      <c r="E11" s="2" t="n">
        <v>724.6599731445312</v>
      </c>
      <c r="F11" s="2">
        <f>C11*D11</f>
        <v/>
      </c>
      <c r="G11" s="2">
        <f>C11*E11</f>
        <v/>
      </c>
      <c r="H11" s="2">
        <f>G11-F11</f>
        <v/>
      </c>
      <c r="I11" s="3">
        <f>IF(F11=0,0,H11/F11)</f>
        <v/>
      </c>
    </row>
    <row r="12">
      <c r="A12" t="inlineStr">
        <is>
          <t>WBD</t>
        </is>
      </c>
      <c r="B12" t="inlineStr">
        <is>
          <t>Webull</t>
        </is>
      </c>
      <c r="C12" t="n">
        <v>5</v>
      </c>
      <c r="D12" s="2" t="n">
        <v>27.75</v>
      </c>
      <c r="E12" s="2" t="n">
        <v>26.97999954223633</v>
      </c>
      <c r="F12" s="2">
        <f>C12*D12</f>
        <v/>
      </c>
      <c r="G12" s="2">
        <f>C12*E12</f>
        <v/>
      </c>
      <c r="H12" s="2">
        <f>G12-F12</f>
        <v/>
      </c>
      <c r="I12" s="3">
        <f>IF(F12=0,0,H12/F12)</f>
        <v/>
      </c>
    </row>
    <row r="13">
      <c r="A13" t="inlineStr">
        <is>
          <t>LYG</t>
        </is>
      </c>
      <c r="B13" t="inlineStr">
        <is>
          <t>Webull</t>
        </is>
      </c>
      <c r="C13" t="n">
        <v>10</v>
      </c>
      <c r="D13" s="2" t="n">
        <v>3.7</v>
      </c>
      <c r="E13" s="2" t="n">
        <v>5.050000190734863</v>
      </c>
      <c r="F13" s="2">
        <f>C13*D13</f>
        <v/>
      </c>
      <c r="G13" s="2">
        <f>C13*E13</f>
        <v/>
      </c>
      <c r="H13" s="2">
        <f>G13-F13</f>
        <v/>
      </c>
      <c r="I13" s="3">
        <f>IF(F13=0,0,H13/F13)</f>
        <v/>
      </c>
    </row>
    <row r="14">
      <c r="A14" t="inlineStr">
        <is>
          <t>BAC</t>
        </is>
      </c>
      <c r="B14" t="inlineStr">
        <is>
          <t>Webull</t>
        </is>
      </c>
      <c r="C14" t="n">
        <v>1</v>
      </c>
      <c r="D14" s="2" t="n">
        <v>45.88</v>
      </c>
      <c r="E14" s="2" t="n">
        <v>49.77000045776367</v>
      </c>
      <c r="F14" s="2">
        <f>C14*D14</f>
        <v/>
      </c>
      <c r="G14" s="2">
        <f>C14*E14</f>
        <v/>
      </c>
      <c r="H14" s="2">
        <f>G14-F14</f>
        <v/>
      </c>
      <c r="I14" s="3">
        <f>IF(F14=0,0,H14/F14)</f>
        <v/>
      </c>
    </row>
    <row r="15">
      <c r="A15" t="inlineStr">
        <is>
          <t>DAL</t>
        </is>
      </c>
      <c r="B15" t="inlineStr">
        <is>
          <t>Webull</t>
        </is>
      </c>
      <c r="C15" t="n">
        <v>1</v>
      </c>
      <c r="D15" s="2" t="n">
        <v>43.81</v>
      </c>
      <c r="E15" s="2" t="n">
        <v>70.23000335693359</v>
      </c>
      <c r="F15" s="2">
        <f>C15*D15</f>
        <v/>
      </c>
      <c r="G15" s="2">
        <f>C15*E15</f>
        <v/>
      </c>
      <c r="H15" s="2">
        <f>G15-F15</f>
        <v/>
      </c>
      <c r="I15" s="3">
        <f>IF(F15=0,0,H15/F15)</f>
        <v/>
      </c>
    </row>
    <row r="16">
      <c r="A16" t="inlineStr">
        <is>
          <t>NVDA</t>
        </is>
      </c>
      <c r="B16" t="inlineStr">
        <is>
          <t>Webull</t>
        </is>
      </c>
      <c r="C16" t="n">
        <v>1</v>
      </c>
      <c r="D16" s="2" t="n">
        <v>126.56</v>
      </c>
      <c r="E16" s="2" t="n">
        <v>225.3200073242188</v>
      </c>
      <c r="F16" s="2">
        <f>C16*D16</f>
        <v/>
      </c>
      <c r="G16" s="2">
        <f>C16*E16</f>
        <v/>
      </c>
      <c r="H16" s="2">
        <f>G16-F16</f>
        <v/>
      </c>
      <c r="I16" s="3">
        <f>IF(F16=0,0,H16/F16)</f>
        <v/>
      </c>
    </row>
    <row r="17">
      <c r="A17" t="inlineStr">
        <is>
          <t>WMT</t>
        </is>
      </c>
      <c r="B17" t="inlineStr">
        <is>
          <t>Webull</t>
        </is>
      </c>
      <c r="C17" t="n">
        <v>1</v>
      </c>
      <c r="D17" s="2" t="n">
        <v>66.98999999999999</v>
      </c>
      <c r="E17" s="2" t="n">
        <v>131.4499969482422</v>
      </c>
      <c r="F17" s="2">
        <f>C17*D17</f>
        <v/>
      </c>
      <c r="G17" s="2">
        <f>C17*E17</f>
        <v/>
      </c>
      <c r="H17" s="2">
        <f>G17-F17</f>
        <v/>
      </c>
      <c r="I17" s="3">
        <f>IF(F17=0,0,H17/F17)</f>
        <v/>
      </c>
    </row>
    <row r="18">
      <c r="A18" t="inlineStr">
        <is>
          <t>NTGR</t>
        </is>
      </c>
      <c r="B18" t="inlineStr">
        <is>
          <t>Webull</t>
        </is>
      </c>
      <c r="C18" t="n">
        <v>1</v>
      </c>
      <c r="D18" s="2" t="n">
        <v>14.27</v>
      </c>
      <c r="E18" s="2" t="n">
        <v>24.75</v>
      </c>
      <c r="F18" s="2">
        <f>C18*D18</f>
        <v/>
      </c>
      <c r="G18" s="2">
        <f>C18*E18</f>
        <v/>
      </c>
      <c r="H18" s="2">
        <f>G18-F18</f>
        <v/>
      </c>
      <c r="I18" s="3">
        <f>IF(F18=0,0,H18/F18)</f>
        <v/>
      </c>
    </row>
    <row r="19">
      <c r="A19" t="inlineStr">
        <is>
          <t>T</t>
        </is>
      </c>
      <c r="B19" t="inlineStr">
        <is>
          <t>Webull</t>
        </is>
      </c>
      <c r="C19" t="n">
        <v>1</v>
      </c>
      <c r="D19" s="2" t="n">
        <v>16.49</v>
      </c>
      <c r="E19" s="2" t="n">
        <v>24.03000068664551</v>
      </c>
      <c r="F19" s="2">
        <f>C19*D19</f>
        <v/>
      </c>
      <c r="G19" s="2">
        <f>C19*E19</f>
        <v/>
      </c>
      <c r="H19" s="2">
        <f>G19-F19</f>
        <v/>
      </c>
      <c r="I19" s="3">
        <f>IF(F19=0,0,H19/F19)</f>
        <v/>
      </c>
    </row>
    <row r="20">
      <c r="A20" s="4" t="inlineStr">
        <is>
          <t>TOTAL</t>
        </is>
      </c>
      <c r="F20" s="5">
        <f>SUM(F2:F19)</f>
        <v/>
      </c>
      <c r="G20" s="5">
        <f>SUM(G2:G19)</f>
        <v/>
      </c>
      <c r="H20" s="5">
        <f>SUM(H2:H19)</f>
        <v/>
      </c>
      <c r="I20" s="6">
        <f>IF(F20=0,0,H20/F20)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7" t="inlineStr">
        <is>
          <t>PORTFOLIO SUMMARY</t>
        </is>
      </c>
    </row>
    <row r="3">
      <c r="A3" s="4" t="inlineStr">
        <is>
          <t>Total Invested:</t>
        </is>
      </c>
      <c r="B3" s="2">
        <f>Holdings!F20</f>
        <v/>
      </c>
    </row>
    <row r="4">
      <c r="A4" s="4" t="inlineStr">
        <is>
          <t>Current Portfolio Value:</t>
        </is>
      </c>
      <c r="B4" s="2">
        <f>Holdings!G20</f>
        <v/>
      </c>
    </row>
    <row r="5">
      <c r="A5" s="4" t="inlineStr">
        <is>
          <t>Total Gain/Loss:</t>
        </is>
      </c>
      <c r="B5" s="2">
        <f>Holdings!H20</f>
        <v/>
      </c>
    </row>
    <row r="6">
      <c r="A6" s="4" t="inlineStr">
        <is>
          <t>Overall Return %:</t>
        </is>
      </c>
      <c r="B6" s="3">
        <f>Holdings!I20</f>
        <v/>
      </c>
    </row>
    <row r="8">
      <c r="A8" s="8" t="inlineStr">
        <is>
          <t>ACCOUNT BREAKDOWN</t>
        </is>
      </c>
    </row>
    <row r="9">
      <c r="A9" s="4" t="inlineStr">
        <is>
          <t>Robinhood Value:</t>
        </is>
      </c>
      <c r="B9" s="2">
        <f>SUMIF(Holdings!B:B,"Robinhood",Holdings!G:G)</f>
        <v/>
      </c>
    </row>
    <row r="10">
      <c r="A10" s="4" t="inlineStr">
        <is>
          <t>Webull Value:</t>
        </is>
      </c>
      <c r="B10" s="2">
        <f>SUMIF(Holdings!B:B,"Webull",Holdings!G:G)</f>
        <v/>
      </c>
    </row>
  </sheetData>
  <mergeCells count="2">
    <mergeCell ref="A8:B8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12" t="inlineStr">
        <is>
          <t>Symbol</t>
        </is>
      </c>
      <c r="B1" s="12" t="inlineStr">
        <is>
          <t>Current Value</t>
        </is>
      </c>
      <c r="C1" s="12" t="inlineStr">
        <is>
          <t>Current %</t>
        </is>
      </c>
    </row>
    <row r="2">
      <c r="A2" t="inlineStr">
        <is>
          <t>IWM</t>
        </is>
      </c>
      <c r="B2" s="2">
        <f>INDEX(Holdings!$G$2:$G$19,MATCH(A2,Holdings!$A$2:$A$19,0))</f>
        <v/>
      </c>
      <c r="C2" s="3">
        <f>B2/$B$20</f>
        <v/>
      </c>
    </row>
    <row r="3">
      <c r="A3" t="inlineStr">
        <is>
          <t>AAPL</t>
        </is>
      </c>
      <c r="B3" s="2">
        <f>INDEX(Holdings!$G$2:$G$19,MATCH(A3,Holdings!$A$2:$A$19,0))</f>
        <v/>
      </c>
      <c r="C3" s="3">
        <f>B3/$B$20</f>
        <v/>
      </c>
    </row>
    <row r="4">
      <c r="A4" t="inlineStr">
        <is>
          <t>AMZN</t>
        </is>
      </c>
      <c r="B4" s="2">
        <f>INDEX(Holdings!$G$2:$G$19,MATCH(A4,Holdings!$A$2:$A$19,0))</f>
        <v/>
      </c>
      <c r="C4" s="3">
        <f>B4/$B$20</f>
        <v/>
      </c>
    </row>
    <row r="5">
      <c r="A5" t="inlineStr">
        <is>
          <t>JEPI</t>
        </is>
      </c>
      <c r="B5" s="2">
        <f>INDEX(Holdings!$G$2:$G$19,MATCH(A5,Holdings!$A$2:$A$19,0))</f>
        <v/>
      </c>
      <c r="C5" s="3">
        <f>B5/$B$20</f>
        <v/>
      </c>
    </row>
    <row r="6">
      <c r="A6" t="inlineStr">
        <is>
          <t>SLG</t>
        </is>
      </c>
      <c r="B6" s="2">
        <f>INDEX(Holdings!$G$2:$G$19,MATCH(A6,Holdings!$A$2:$A$19,0))</f>
        <v/>
      </c>
      <c r="C6" s="3">
        <f>B6/$B$20</f>
        <v/>
      </c>
    </row>
    <row r="7">
      <c r="A7" t="inlineStr">
        <is>
          <t>ORCL</t>
        </is>
      </c>
      <c r="B7" s="2">
        <f>INDEX(Holdings!$G$2:$G$19,MATCH(A7,Holdings!$A$2:$A$19,0))</f>
        <v/>
      </c>
      <c r="C7" s="3">
        <f>B7/$B$20</f>
        <v/>
      </c>
    </row>
    <row r="8">
      <c r="A8" t="inlineStr">
        <is>
          <t>MSFT</t>
        </is>
      </c>
      <c r="B8" s="2">
        <f>INDEX(Holdings!$G$2:$G$19,MATCH(A8,Holdings!$A$2:$A$19,0))</f>
        <v/>
      </c>
      <c r="C8" s="3">
        <f>B8/$B$20</f>
        <v/>
      </c>
    </row>
    <row r="9">
      <c r="A9" t="inlineStr">
        <is>
          <t>C</t>
        </is>
      </c>
      <c r="B9" s="2">
        <f>INDEX(Holdings!$G$2:$G$19,MATCH(A9,Holdings!$A$2:$A$19,0))</f>
        <v/>
      </c>
      <c r="C9" s="3">
        <f>B9/$B$20</f>
        <v/>
      </c>
    </row>
    <row r="10">
      <c r="A10" t="inlineStr">
        <is>
          <t>JPM</t>
        </is>
      </c>
      <c r="B10" s="2">
        <f>INDEX(Holdings!$G$2:$G$19,MATCH(A10,Holdings!$A$2:$A$19,0))</f>
        <v/>
      </c>
      <c r="C10" s="3">
        <f>B10/$B$20</f>
        <v/>
      </c>
    </row>
    <row r="11">
      <c r="A11" t="inlineStr">
        <is>
          <t>MU</t>
        </is>
      </c>
      <c r="B11" s="2">
        <f>INDEX(Holdings!$G$2:$G$19,MATCH(A11,Holdings!$A$2:$A$19,0))</f>
        <v/>
      </c>
      <c r="C11" s="3">
        <f>B11/$B$20</f>
        <v/>
      </c>
    </row>
    <row r="12">
      <c r="A12" t="inlineStr">
        <is>
          <t>WBD</t>
        </is>
      </c>
      <c r="B12" s="2">
        <f>INDEX(Holdings!$G$2:$G$19,MATCH(A12,Holdings!$A$2:$A$19,0))</f>
        <v/>
      </c>
      <c r="C12" s="3">
        <f>B12/$B$20</f>
        <v/>
      </c>
    </row>
    <row r="13">
      <c r="A13" t="inlineStr">
        <is>
          <t>LYG</t>
        </is>
      </c>
      <c r="B13" s="2">
        <f>INDEX(Holdings!$G$2:$G$19,MATCH(A13,Holdings!$A$2:$A$19,0))</f>
        <v/>
      </c>
      <c r="C13" s="3">
        <f>B13/$B$20</f>
        <v/>
      </c>
    </row>
    <row r="14">
      <c r="A14" t="inlineStr">
        <is>
          <t>BAC</t>
        </is>
      </c>
      <c r="B14" s="2">
        <f>INDEX(Holdings!$G$2:$G$19,MATCH(A14,Holdings!$A$2:$A$19,0))</f>
        <v/>
      </c>
      <c r="C14" s="3">
        <f>B14/$B$20</f>
        <v/>
      </c>
    </row>
    <row r="15">
      <c r="A15" t="inlineStr">
        <is>
          <t>DAL</t>
        </is>
      </c>
      <c r="B15" s="2">
        <f>INDEX(Holdings!$G$2:$G$19,MATCH(A15,Holdings!$A$2:$A$19,0))</f>
        <v/>
      </c>
      <c r="C15" s="3">
        <f>B15/$B$20</f>
        <v/>
      </c>
    </row>
    <row r="16">
      <c r="A16" t="inlineStr">
        <is>
          <t>NVDA</t>
        </is>
      </c>
      <c r="B16" s="2">
        <f>INDEX(Holdings!$G$2:$G$19,MATCH(A16,Holdings!$A$2:$A$19,0))</f>
        <v/>
      </c>
      <c r="C16" s="3">
        <f>B16/$B$20</f>
        <v/>
      </c>
    </row>
    <row r="17">
      <c r="A17" t="inlineStr">
        <is>
          <t>WMT</t>
        </is>
      </c>
      <c r="B17" s="2">
        <f>INDEX(Holdings!$G$2:$G$19,MATCH(A17,Holdings!$A$2:$A$19,0))</f>
        <v/>
      </c>
      <c r="C17" s="3">
        <f>B17/$B$20</f>
        <v/>
      </c>
    </row>
    <row r="18">
      <c r="A18" t="inlineStr">
        <is>
          <t>NTGR</t>
        </is>
      </c>
      <c r="B18" s="2">
        <f>INDEX(Holdings!$G$2:$G$19,MATCH(A18,Holdings!$A$2:$A$19,0))</f>
        <v/>
      </c>
      <c r="C18" s="3">
        <f>B18/$B$20</f>
        <v/>
      </c>
    </row>
    <row r="19">
      <c r="A19" t="inlineStr">
        <is>
          <t>T</t>
        </is>
      </c>
      <c r="B19" s="2">
        <f>INDEX(Holdings!$G$2:$G$19,MATCH(A19,Holdings!$A$2:$A$19,0))</f>
        <v/>
      </c>
      <c r="C19" s="3">
        <f>B19/$B$20</f>
        <v/>
      </c>
    </row>
    <row r="20">
      <c r="A20" s="4" t="inlineStr">
        <is>
          <t>TOTAL</t>
        </is>
      </c>
      <c r="B20" s="5">
        <f>SUM(B2:B19)</f>
        <v/>
      </c>
      <c r="C20" s="6">
        <f>SUM(C2:C19)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PORTFOLIO OPTIMIZATION DASHBOARD</t>
        </is>
      </c>
    </row>
    <row r="3">
      <c r="A3" t="inlineStr">
        <is>
          <t>KEY METRICS</t>
        </is>
      </c>
    </row>
    <row r="4">
      <c r="A4" t="inlineStr">
        <is>
          <t>Portfolio Value: $2,268.08</t>
        </is>
      </c>
    </row>
    <row r="5">
      <c r="A5" t="inlineStr">
        <is>
          <t>Total Gain/Loss: $652.07</t>
        </is>
      </c>
    </row>
    <row r="6">
      <c r="A6" t="inlineStr">
        <is>
          <t>Return %: 40.35%</t>
        </is>
      </c>
    </row>
    <row r="7">
      <c r="A7" t="inlineStr">
        <is>
          <t>Updated: 2026-05-16 20:55:15</t>
        </is>
      </c>
    </row>
    <row r="9">
      <c r="A9" t="inlineStr">
        <is>
          <t>PORTFOLIO METRICS</t>
        </is>
      </c>
    </row>
    <row r="10">
      <c r="A10" t="inlineStr">
        <is>
          <t>Current Annual Return: 26.44%</t>
        </is>
      </c>
    </row>
    <row r="11">
      <c r="A11" t="inlineStr">
        <is>
          <t>Current Risk (Volatility): 14.61%</t>
        </is>
      </c>
    </row>
    <row r="12">
      <c r="A12" t="inlineStr">
        <is>
          <t>Current Sharpe Ratio: 1.81</t>
        </is>
      </c>
    </row>
    <row r="14">
      <c r="A14" t="inlineStr">
        <is>
          <t>OPTIMAL ALLOCATION METRICS</t>
        </is>
      </c>
    </row>
    <row r="15">
      <c r="A15" t="inlineStr">
        <is>
          <t>Optimal Annual Return: 87.05%</t>
        </is>
      </c>
    </row>
    <row r="16">
      <c r="A16" t="inlineStr">
        <is>
          <t>Optimal Risk (Volatility): 19.29%</t>
        </is>
      </c>
    </row>
    <row r="17">
      <c r="A17" t="inlineStr">
        <is>
          <t>Optimal Sharpe Ratio: 4.51</t>
        </is>
      </c>
    </row>
    <row r="18">
      <c r="A18" t="inlineStr">
        <is>
          <t>Improvement in Sharpe: 149.4%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2026-05-15T14:32:40Z</dcterms:created>
  <dcterms:modified xsi:type="dcterms:W3CDTF">2026-05-16T20:55:15Z</dcterms:modified>
</cp:coreProperties>
</file>